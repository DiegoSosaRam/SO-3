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rsonal\Documents\3er Semestre\Sistemas Operativos I\P3\"/>
    </mc:Choice>
  </mc:AlternateContent>
  <xr:revisionPtr revIDLastSave="0" documentId="13_ncr:1_{5700079F-89C2-47FE-8A19-38533A5101ED}" xr6:coauthVersionLast="47" xr6:coauthVersionMax="47" xr10:uidLastSave="{00000000-0000-0000-0000-000000000000}"/>
  <bookViews>
    <workbookView xWindow="-108" yWindow="-108" windowWidth="23256" windowHeight="12576" xr2:uid="{FF34C527-8892-45C3-A483-91981AE1D9F4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1" l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7" i="1"/>
  <c r="F28" i="1"/>
  <c r="F29" i="1"/>
  <c r="F30" i="1"/>
  <c r="F31" i="1"/>
  <c r="F5" i="1"/>
  <c r="G5" i="1"/>
  <c r="H5" i="1" a="1"/>
  <c r="H5" i="1" s="1"/>
  <c r="H26" i="1" s="1"/>
  <c r="B5" i="1" a="1"/>
  <c r="B5" i="1" s="1"/>
  <c r="B4" i="1"/>
  <c r="R15" i="1" a="1"/>
  <c r="R15" i="1" s="1"/>
  <c r="R8" i="1" a="1"/>
  <c r="R8" i="1" s="1"/>
  <c r="A21" i="1" l="1"/>
  <c r="A13" i="1"/>
  <c r="A15" i="1"/>
  <c r="A19" i="1" l="1"/>
  <c r="P5" i="1"/>
  <c r="O7" i="1" l="1"/>
  <c r="O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<sst xmlns="http://schemas.openxmlformats.org/spreadsheetml/2006/main" count="14" uniqueCount="13">
  <si>
    <t>Cantidad de pistas</t>
  </si>
  <si>
    <t>Head</t>
  </si>
  <si>
    <t>Cola de string (dinámico)</t>
  </si>
  <si>
    <t>string +1 (head)</t>
  </si>
  <si>
    <t>Cola orden</t>
  </si>
  <si>
    <t>ctrl + shift + ↓</t>
  </si>
  <si>
    <t>Longitud media de búsqueda</t>
  </si>
  <si>
    <t>N pistas atravesadas</t>
  </si>
  <si>
    <t>.=SI(H6&lt;C4,H6-H5,SI(H6&gt;C4,ABS(100-H5),0))</t>
  </si>
  <si>
    <t>No. Pistas atravesadas</t>
  </si>
  <si>
    <t>Seek time</t>
  </si>
  <si>
    <t>MAX</t>
  </si>
  <si>
    <t>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</si>
</sst>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Types" Target="richData/rdRichValueTypes.xml"/><Relationship Id="rId3" Type="http://schemas.openxmlformats.org/officeDocument/2006/relationships/styles" Target="styles.xml"/><Relationship Id="rId7" Type="http://schemas.microsoft.com/office/2017/06/relationships/rdRichValueStructure" Target="richData/rdrichvaluestructur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06/relationships/rdRichValue" Target="richData/rdrichvalue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563880</xdr:colOff>
          <xdr:row>2</xdr:row>
          <xdr:rowOff>22860</xdr:rowOff>
        </xdr:from>
        <xdr:to>
          <xdr:col>10</xdr:col>
          <xdr:colOff>647700</xdr:colOff>
          <xdr:row>5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Prubea 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556260</xdr:colOff>
          <xdr:row>6</xdr:row>
          <xdr:rowOff>137160</xdr:rowOff>
        </xdr:from>
        <xdr:to>
          <xdr:col>10</xdr:col>
          <xdr:colOff>693420</xdr:colOff>
          <xdr:row>11</xdr:row>
          <xdr:rowOff>91440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Prueba 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129540</xdr:colOff>
          <xdr:row>2</xdr:row>
          <xdr:rowOff>22860</xdr:rowOff>
        </xdr:from>
        <xdr:to>
          <xdr:col>13</xdr:col>
          <xdr:colOff>502920</xdr:colOff>
          <xdr:row>5</xdr:row>
          <xdr:rowOff>137160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0</v>
    <v>3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C98A7-2B53-4992-913A-17DB812E2BE2}">
  <sheetPr codeName="Hoja1"/>
  <dimension ref="A2:AD31"/>
  <sheetViews>
    <sheetView tabSelected="1" zoomScale="83" zoomScaleNormal="85" workbookViewId="0">
      <selection activeCell="N22" sqref="N22"/>
    </sheetView>
  </sheetViews>
  <sheetFormatPr baseColWidth="10" defaultRowHeight="14.4" x14ac:dyDescent="0.3"/>
  <cols>
    <col min="2" max="2" width="19.33203125" bestFit="1" customWidth="1"/>
    <col min="3" max="3" width="5.21875" bestFit="1" customWidth="1"/>
    <col min="4" max="4" width="21.21875" bestFit="1" customWidth="1"/>
    <col min="6" max="6" width="20.33203125" bestFit="1" customWidth="1"/>
    <col min="7" max="7" width="16.88671875" bestFit="1" customWidth="1"/>
    <col min="8" max="8" width="13.44140625" bestFit="1" customWidth="1"/>
    <col min="10" max="10" width="19.6640625" bestFit="1" customWidth="1"/>
    <col min="15" max="15" width="25.5546875" customWidth="1"/>
    <col min="16" max="16" width="17.77734375" bestFit="1" customWidth="1"/>
    <col min="18" max="18" width="20" bestFit="1" customWidth="1"/>
  </cols>
  <sheetData>
    <row r="2" spans="1:30" x14ac:dyDescent="0.3">
      <c r="F2" t="s">
        <v>3</v>
      </c>
      <c r="H2" t="s">
        <v>5</v>
      </c>
    </row>
    <row r="3" spans="1:30" x14ac:dyDescent="0.3">
      <c r="C3" t="s">
        <v>1</v>
      </c>
      <c r="D3" t="s">
        <v>2</v>
      </c>
    </row>
    <row r="4" spans="1:30" x14ac:dyDescent="0.3">
      <c r="B4">
        <f>C4</f>
        <v>100</v>
      </c>
      <c r="C4">
        <v>100</v>
      </c>
      <c r="D4">
        <v>150</v>
      </c>
      <c r="F4" t="s">
        <v>9</v>
      </c>
      <c r="G4" t="s">
        <v>0</v>
      </c>
      <c r="H4" t="s">
        <v>4</v>
      </c>
      <c r="O4" s="1" t="s">
        <v>6</v>
      </c>
      <c r="P4" t="s">
        <v>7</v>
      </c>
    </row>
    <row r="5" spans="1:30" x14ac:dyDescent="0.3">
      <c r="B5" cm="1">
        <f t="array" ref="B5:B13">_xlfn._xlws.SORT(_xlfn._xlws.FILTER(D4:D27,D4:D27&lt;&gt;""),1,1)</f>
        <v>18</v>
      </c>
      <c r="D5">
        <v>160</v>
      </c>
      <c r="F5">
        <f>ABS(H5-H6)</f>
        <v>20</v>
      </c>
      <c r="G5">
        <f>COUNT(B4:B1048576)</f>
        <v>10</v>
      </c>
      <c r="H5" cm="1">
        <f t="array" ref="H5:H14">_xlfn._xlws.SORT(_xlfn._xlws.FILTER(B4:B27,B4:B27&lt;&gt;""),1,1)</f>
        <v>18</v>
      </c>
      <c r="O5" s="2">
        <f>(SUM(F5:F49))/G5</f>
        <v>35</v>
      </c>
      <c r="P5">
        <f>IF(H6&lt;C4,H6-H5,IF(H6&gt;C4,ABS(100-H5),0))</f>
        <v>20</v>
      </c>
    </row>
    <row r="6" spans="1:30" x14ac:dyDescent="0.3">
      <c r="B6">
        <v>38</v>
      </c>
      <c r="D6">
        <v>184</v>
      </c>
      <c r="F6">
        <f t="shared" ref="F6:F31" si="0">ABS(H6-H7)</f>
        <v>1</v>
      </c>
      <c r="H6">
        <v>38</v>
      </c>
      <c r="O6" t="s">
        <v>10</v>
      </c>
    </row>
    <row r="7" spans="1:30" x14ac:dyDescent="0.3">
      <c r="B7">
        <v>39</v>
      </c>
      <c r="D7">
        <v>18</v>
      </c>
      <c r="F7">
        <f t="shared" si="0"/>
        <v>16</v>
      </c>
      <c r="H7">
        <v>39</v>
      </c>
      <c r="O7">
        <f>SUM(F5:F31)</f>
        <v>350</v>
      </c>
    </row>
    <row r="8" spans="1:30" x14ac:dyDescent="0.3">
      <c r="B8">
        <v>55</v>
      </c>
      <c r="D8">
        <v>38</v>
      </c>
      <c r="F8">
        <f t="shared" si="0"/>
        <v>3</v>
      </c>
      <c r="H8">
        <v>55</v>
      </c>
      <c r="R8" cm="1">
        <f t="array" ref="R8:AD8">TRANSPOSE(D4:D16)</f>
        <v>150</v>
      </c>
      <c r="S8">
        <v>160</v>
      </c>
      <c r="T8">
        <v>184</v>
      </c>
      <c r="U8">
        <v>18</v>
      </c>
      <c r="V8">
        <v>38</v>
      </c>
      <c r="W8">
        <v>39</v>
      </c>
      <c r="X8">
        <v>55</v>
      </c>
      <c r="Y8">
        <v>58</v>
      </c>
      <c r="Z8">
        <v>90</v>
      </c>
      <c r="AA8">
        <v>0</v>
      </c>
      <c r="AB8">
        <v>0</v>
      </c>
      <c r="AC8">
        <v>0</v>
      </c>
      <c r="AD8">
        <v>0</v>
      </c>
    </row>
    <row r="9" spans="1:30" x14ac:dyDescent="0.3">
      <c r="B9">
        <v>58</v>
      </c>
      <c r="D9">
        <v>39</v>
      </c>
      <c r="F9">
        <f t="shared" si="0"/>
        <v>32</v>
      </c>
      <c r="H9">
        <v>58</v>
      </c>
      <c r="M9" s="3"/>
      <c r="P9" t="s">
        <v>8</v>
      </c>
    </row>
    <row r="10" spans="1:30" x14ac:dyDescent="0.3">
      <c r="B10">
        <v>90</v>
      </c>
      <c r="D10">
        <v>55</v>
      </c>
      <c r="F10">
        <f t="shared" si="0"/>
        <v>10</v>
      </c>
      <c r="H10">
        <v>90</v>
      </c>
    </row>
    <row r="11" spans="1:30" x14ac:dyDescent="0.3">
      <c r="B11">
        <v>150</v>
      </c>
      <c r="D11">
        <v>58</v>
      </c>
      <c r="F11">
        <f t="shared" si="0"/>
        <v>50</v>
      </c>
      <c r="H11">
        <v>100</v>
      </c>
    </row>
    <row r="12" spans="1:30" x14ac:dyDescent="0.3">
      <c r="A12" t="s">
        <v>11</v>
      </c>
      <c r="B12">
        <v>160</v>
      </c>
      <c r="D12">
        <v>90</v>
      </c>
      <c r="F12">
        <f t="shared" si="0"/>
        <v>10</v>
      </c>
      <c r="H12">
        <v>150</v>
      </c>
    </row>
    <row r="13" spans="1:30" x14ac:dyDescent="0.3">
      <c r="A13">
        <f>MAX(H5:H1048576)-C4</f>
        <v>84</v>
      </c>
      <c r="B13">
        <v>184</v>
      </c>
      <c r="F13">
        <f t="shared" si="0"/>
        <v>24</v>
      </c>
      <c r="H13">
        <v>160</v>
      </c>
    </row>
    <row r="14" spans="1:30" x14ac:dyDescent="0.3">
      <c r="A14" t="s">
        <v>12</v>
      </c>
      <c r="F14">
        <f t="shared" si="0"/>
        <v>184</v>
      </c>
      <c r="H14">
        <v>184</v>
      </c>
    </row>
    <row r="15" spans="1:30" x14ac:dyDescent="0.3">
      <c r="A15">
        <f>C4-MIN(H5:H1048576)</f>
        <v>82</v>
      </c>
      <c r="F15">
        <f t="shared" si="0"/>
        <v>0</v>
      </c>
      <c r="R15" t="e" cm="1" vm="1">
        <f t="array" aca="1" ref="R15" ca="1">TRANSPOSE(D4:D1048576)</f>
        <v>#VALUE!</v>
      </c>
    </row>
    <row r="16" spans="1:30" x14ac:dyDescent="0.3">
      <c r="F16">
        <f t="shared" si="0"/>
        <v>0</v>
      </c>
    </row>
    <row r="17" spans="1:8" x14ac:dyDescent="0.3">
      <c r="F17">
        <f t="shared" si="0"/>
        <v>0</v>
      </c>
    </row>
    <row r="18" spans="1:8" x14ac:dyDescent="0.3">
      <c r="A18" t="s">
        <v>10</v>
      </c>
      <c r="F18">
        <f t="shared" si="0"/>
        <v>0</v>
      </c>
    </row>
    <row r="19" spans="1:8" x14ac:dyDescent="0.3">
      <c r="A19">
        <f>A13+A15</f>
        <v>166</v>
      </c>
      <c r="F19">
        <f t="shared" si="0"/>
        <v>0</v>
      </c>
    </row>
    <row r="20" spans="1:8" x14ac:dyDescent="0.3">
      <c r="F20">
        <f t="shared" si="0"/>
        <v>0</v>
      </c>
    </row>
    <row r="21" spans="1:8" x14ac:dyDescent="0.3">
      <c r="A21">
        <f>SUM(F5:F14)/G5</f>
        <v>35</v>
      </c>
      <c r="F21">
        <f t="shared" si="0"/>
        <v>0</v>
      </c>
    </row>
    <row r="22" spans="1:8" x14ac:dyDescent="0.3">
      <c r="F22">
        <f t="shared" si="0"/>
        <v>0</v>
      </c>
    </row>
    <row r="23" spans="1:8" x14ac:dyDescent="0.3">
      <c r="F23">
        <f t="shared" si="0"/>
        <v>0</v>
      </c>
    </row>
    <row r="24" spans="1:8" x14ac:dyDescent="0.3">
      <c r="F24">
        <f t="shared" si="0"/>
        <v>0</v>
      </c>
    </row>
    <row r="26" spans="1:8" x14ac:dyDescent="0.3">
      <c r="H26">
        <f>C4-H5</f>
        <v>82</v>
      </c>
    </row>
    <row r="27" spans="1:8" x14ac:dyDescent="0.3">
      <c r="F27">
        <f t="shared" si="0"/>
        <v>0</v>
      </c>
    </row>
    <row r="28" spans="1:8" x14ac:dyDescent="0.3">
      <c r="F28">
        <f t="shared" si="0"/>
        <v>0</v>
      </c>
    </row>
    <row r="29" spans="1:8" x14ac:dyDescent="0.3">
      <c r="F29">
        <f t="shared" si="0"/>
        <v>0</v>
      </c>
    </row>
    <row r="30" spans="1:8" x14ac:dyDescent="0.3">
      <c r="F30">
        <f t="shared" si="0"/>
        <v>0</v>
      </c>
    </row>
    <row r="31" spans="1:8" x14ac:dyDescent="0.3">
      <c r="F31">
        <f t="shared" si="0"/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Prueba03">
                <anchor moveWithCells="1" sizeWithCells="1">
                  <from>
                    <xdr:col>8</xdr:col>
                    <xdr:colOff>563880</xdr:colOff>
                    <xdr:row>2</xdr:row>
                    <xdr:rowOff>22860</xdr:rowOff>
                  </from>
                  <to>
                    <xdr:col>10</xdr:col>
                    <xdr:colOff>647700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Prueba04">
                <anchor moveWithCells="1" sizeWithCells="1">
                  <from>
                    <xdr:col>8</xdr:col>
                    <xdr:colOff>556260</xdr:colOff>
                    <xdr:row>6</xdr:row>
                    <xdr:rowOff>137160</xdr:rowOff>
                  </from>
                  <to>
                    <xdr:col>10</xdr:col>
                    <xdr:colOff>693420</xdr:colOff>
                    <xdr:row>11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">
                <anchor moveWithCells="1" sizeWithCells="1">
                  <from>
                    <xdr:col>11</xdr:col>
                    <xdr:colOff>129540</xdr:colOff>
                    <xdr:row>2</xdr:row>
                    <xdr:rowOff>22860</xdr:rowOff>
                  </from>
                  <to>
                    <xdr:col>13</xdr:col>
                    <xdr:colOff>502920</xdr:colOff>
                    <xdr:row>5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Sosa Ramirez</dc:creator>
  <cp:lastModifiedBy>Diego Sosa Ramirez</cp:lastModifiedBy>
  <dcterms:created xsi:type="dcterms:W3CDTF">2023-10-24T18:50:32Z</dcterms:created>
  <dcterms:modified xsi:type="dcterms:W3CDTF">2023-11-13T16:51:40Z</dcterms:modified>
</cp:coreProperties>
</file>